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96DFE293-A7B0-4E23-91BA-390343B8CAB0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Survey_Data" sheetId="1" r:id="rId1"/>
    <sheet name="BU_Summary" sheetId="2" r:id="rId2"/>
    <sheet name="Dimension_Analysis" sheetId="3" r:id="rId3"/>
    <sheet name="Trend_Analys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B25" i="4"/>
  <c r="B26" i="4"/>
  <c r="B27" i="4"/>
  <c r="B23" i="4"/>
  <c r="D3" i="4"/>
  <c r="D4" i="4"/>
  <c r="D5" i="4"/>
  <c r="D6" i="4"/>
  <c r="D2" i="4"/>
  <c r="C3" i="4"/>
  <c r="C4" i="4"/>
  <c r="C5" i="4"/>
  <c r="C6" i="4"/>
  <c r="C2" i="4"/>
  <c r="B3" i="4"/>
  <c r="B4" i="4"/>
  <c r="B5" i="4"/>
  <c r="B6" i="4"/>
  <c r="B2" i="4"/>
  <c r="B9" i="3"/>
  <c r="B8" i="3"/>
  <c r="B7" i="3"/>
  <c r="B6" i="3"/>
  <c r="B5" i="3"/>
  <c r="B4" i="3"/>
  <c r="B3" i="3"/>
  <c r="B2" i="3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<sst xmlns="http://schemas.openxmlformats.org/spreadsheetml/2006/main" count="79" uniqueCount="39">
  <si>
    <t>Survey_Cycle</t>
  </si>
  <si>
    <t>Business_Unit</t>
  </si>
  <si>
    <t>Headcount</t>
  </si>
  <si>
    <t>Respondents</t>
  </si>
  <si>
    <t>Participation_Rate</t>
  </si>
  <si>
    <t>Leadership_Score</t>
  </si>
  <si>
    <t>CareerGrowth_Score</t>
  </si>
  <si>
    <t>Recognition_Score</t>
  </si>
  <si>
    <t>WorkLife_Score</t>
  </si>
  <si>
    <t>Collaboration_Score</t>
  </si>
  <si>
    <t>Culture_Score</t>
  </si>
  <si>
    <t>Manager_Score</t>
  </si>
  <si>
    <t>Innovation_Score</t>
  </si>
  <si>
    <t>Overall_Score</t>
  </si>
  <si>
    <t>Q1 2024</t>
  </si>
  <si>
    <t>Fashion</t>
  </si>
  <si>
    <t>Beauty</t>
  </si>
  <si>
    <t>Tech &amp; Product</t>
  </si>
  <si>
    <t>Supply Chain &amp; Ops</t>
  </si>
  <si>
    <t>Customer Experience</t>
  </si>
  <si>
    <t>Q2 2024</t>
  </si>
  <si>
    <t>Q3 2024</t>
  </si>
  <si>
    <t>Avg_Overall_Score</t>
  </si>
  <si>
    <t>Avg_Participation_Rate</t>
  </si>
  <si>
    <t>Trend_Q1_to_Q3</t>
  </si>
  <si>
    <t>Dimension</t>
  </si>
  <si>
    <t>Avg_Score</t>
  </si>
  <si>
    <t>Leadership</t>
  </si>
  <si>
    <t>Career Growth</t>
  </si>
  <si>
    <t>Recognition</t>
  </si>
  <si>
    <t>Work-Life Balance</t>
  </si>
  <si>
    <t>Collaboration</t>
  </si>
  <si>
    <t>Culture</t>
  </si>
  <si>
    <t>Manager Support</t>
  </si>
  <si>
    <t>Innovation</t>
  </si>
  <si>
    <t>Q1_2024</t>
  </si>
  <si>
    <t>Q2_2024</t>
  </si>
  <si>
    <t>Q3_2024</t>
  </si>
  <si>
    <t>Q3_Overall_Score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</si>
</sst>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Dimension Analysis – Engagement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Dimension_Analysis!$B$1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rgbClr val="7821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Dimension_Analysis!$A$2:$A$9</c:f>
              <c:strCache>
                <c:ptCount val="8"/>
                <c:pt idx="0">
                  <c:v>Leadership</c:v>
                </c:pt>
                <c:pt idx="1">
                  <c:v>Career Growth</c:v>
                </c:pt>
                <c:pt idx="2">
                  <c:v>Recognition</c:v>
                </c:pt>
                <c:pt idx="3">
                  <c:v>Work-Life Balance</c:v>
                </c:pt>
                <c:pt idx="4">
                  <c:v>Collaboration</c:v>
                </c:pt>
                <c:pt idx="5">
                  <c:v>Culture</c:v>
                </c:pt>
                <c:pt idx="6">
                  <c:v>Manager Support</c:v>
                </c:pt>
                <c:pt idx="7">
                  <c:v>Innovation</c:v>
                </c:pt>
              </c:strCache>
            </c:strRef>
          </c:cat>
          <c:val>
            <c:numRef>
              <c:f>Dimension_Analysis!$B$2:$B$9</c:f>
              <c:numCache>
                <c:formatCode>General</c:formatCode>
                <c:ptCount val="8"/>
                <c:pt idx="0">
                  <c:v>3.9866666666666659</c:v>
                </c:pt>
                <c:pt idx="1">
                  <c:v>3.6133333333333337</c:v>
                </c:pt>
                <c:pt idx="2">
                  <c:v>3.7866666666666671</c:v>
                </c:pt>
                <c:pt idx="3">
                  <c:v>4.0199999999999996</c:v>
                </c:pt>
                <c:pt idx="4">
                  <c:v>4.0599999999999996</c:v>
                </c:pt>
                <c:pt idx="5">
                  <c:v>3.9399999999999991</c:v>
                </c:pt>
                <c:pt idx="6">
                  <c:v>3.8400000000000007</c:v>
                </c:pt>
                <c:pt idx="7">
                  <c:v>3.8399999999999994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9FB-8287-40A528BD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568199"/>
        <c:axId val="1698590727"/>
      </c:barChart>
      <c:catAx>
        <c:axId val="1698568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90727"/>
        <c:crosses val="autoZero"/>
        <c:auto val="1"/>
        <c:lblAlgn val="ctr"/>
        <c:lblOffset val="100"/>
        <c:noMultiLvlLbl val="0"/>
      </c:catAx>
      <c:valAx>
        <c:axId val="169859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6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Trend by BU (Q1–Q3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Trend_Analysis!$B$1</c:f>
              <c:strCache>
                <c:ptCount val="1"/>
                <c:pt idx="0">
                  <c:v>Q1_2024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Trend_Analysis!$A$2:$A$6</c:f>
              <c:strCache>
                <c:ptCount val="5"/>
                <c:pt idx="0">
                  <c:v>Fashion</c:v>
                </c:pt>
                <c:pt idx="1">
                  <c:v>Beauty</c:v>
                </c:pt>
                <c:pt idx="2">
                  <c:v>Tech &amp; Product</c:v>
                </c:pt>
                <c:pt idx="3">
                  <c:v>Supply Chain &amp; Ops</c:v>
                </c:pt>
                <c:pt idx="4">
                  <c:v>Customer Experience</c:v>
                </c:pt>
              </c:strCache>
            </c:strRef>
          </c:cat>
          <c:val>
            <c:numRef>
              <c:f>Trend_Analysis!$B$2:$B$6</c:f>
              <c:numCache>
                <c:formatCode>General</c:formatCode>
                <c:ptCount val="5"/>
                <c:pt idx="0">
                  <c:v>3.96</c:v>
                </c:pt>
                <c:pt idx="1">
                  <c:v>3.74</c:v>
                </c:pt>
                <c:pt idx="2">
                  <c:v>3.98</c:v>
                </c:pt>
                <c:pt idx="3">
                  <c:v>3.64</c:v>
                </c:pt>
                <c:pt idx="4">
                  <c:v>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5-4629-83D2-D491F678E1F8}"/>
            </c:ext>
          </c:extLst>
        </c:ser>
        <c:ser>
          <c:idx val="1"/>
          <c:order val="1"/>
          <c:tx>
            <c:strRef>
              <c:f>Trend_Analysis!$C$1</c:f>
              <c:strCache>
                <c:ptCount val="1"/>
                <c:pt idx="0">
                  <c:v>Q2_2024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Trend_Analysis!$A$2:$A$6</c:f>
              <c:strCache>
                <c:ptCount val="5"/>
                <c:pt idx="0">
                  <c:v>Fashion</c:v>
                </c:pt>
                <c:pt idx="1">
                  <c:v>Beauty</c:v>
                </c:pt>
                <c:pt idx="2">
                  <c:v>Tech &amp; Product</c:v>
                </c:pt>
                <c:pt idx="3">
                  <c:v>Supply Chain &amp; Ops</c:v>
                </c:pt>
                <c:pt idx="4">
                  <c:v>Customer Experience</c:v>
                </c:pt>
              </c:strCache>
            </c:strRef>
          </c:cat>
          <c:val>
            <c:numRef>
              <c:f>Trend_Analysis!$C$2:$C$6</c:f>
              <c:numCache>
                <c:formatCode>General</c:formatCode>
                <c:ptCount val="5"/>
                <c:pt idx="0">
                  <c:v>4.0199999999999996</c:v>
                </c:pt>
                <c:pt idx="1">
                  <c:v>3.83</c:v>
                </c:pt>
                <c:pt idx="2">
                  <c:v>4.04</c:v>
                </c:pt>
                <c:pt idx="3">
                  <c:v>3.71</c:v>
                </c:pt>
                <c:pt idx="4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5-4629-83D2-D491F678E1F8}"/>
            </c:ext>
          </c:extLst>
        </c:ser>
        <c:ser>
          <c:idx val="2"/>
          <c:order val="2"/>
          <c:tx>
            <c:strRef>
              <c:f>Trend_Analysis!$D$1</c:f>
              <c:strCache>
                <c:ptCount val="1"/>
                <c:pt idx="0">
                  <c:v>Q3_2024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Trend_Analysis!$A$2:$A$6</c:f>
              <c:strCache>
                <c:ptCount val="5"/>
                <c:pt idx="0">
                  <c:v>Fashion</c:v>
                </c:pt>
                <c:pt idx="1">
                  <c:v>Beauty</c:v>
                </c:pt>
                <c:pt idx="2">
                  <c:v>Tech &amp; Product</c:v>
                </c:pt>
                <c:pt idx="3">
                  <c:v>Supply Chain &amp; Ops</c:v>
                </c:pt>
                <c:pt idx="4">
                  <c:v>Customer Experience</c:v>
                </c:pt>
              </c:strCache>
            </c:strRef>
          </c:cat>
          <c:val>
            <c:numRef>
              <c:f>Trend_Analysis!$D$2:$D$6</c:f>
              <c:numCache>
                <c:formatCode>General</c:formatCode>
                <c:ptCount val="5"/>
                <c:pt idx="0">
                  <c:v>4.13</c:v>
                </c:pt>
                <c:pt idx="1">
                  <c:v>3.88</c:v>
                </c:pt>
                <c:pt idx="2">
                  <c:v>4.13</c:v>
                </c:pt>
                <c:pt idx="3">
                  <c:v>3.82</c:v>
                </c:pt>
                <c:pt idx="4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15-4629-83D2-D491F678E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275144"/>
        <c:axId val="145043463"/>
      </c:lineChart>
      <c:catAx>
        <c:axId val="164527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43463"/>
        <c:crosses val="autoZero"/>
        <c:auto val="1"/>
        <c:lblAlgn val="ctr"/>
        <c:lblOffset val="100"/>
        <c:noMultiLvlLbl val="0"/>
      </c:catAx>
      <c:valAx>
        <c:axId val="14504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75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Unit Comparison – Q3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Trend_Analysis!$B$22</c:f>
              <c:strCache>
                <c:ptCount val="1"/>
                <c:pt idx="0">
                  <c:v>Q3_Overall_Score</c:v>
                </c:pt>
              </c:strCache>
            </c:strRef>
          </c:tx>
          <c:spPr>
            <a:solidFill>
              <a:srgbClr val="78217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Trend_Analysis!$A$23:$A$27</c:f>
              <c:strCache>
                <c:ptCount val="5"/>
                <c:pt idx="0">
                  <c:v>Fashion</c:v>
                </c:pt>
                <c:pt idx="1">
                  <c:v>Beauty</c:v>
                </c:pt>
                <c:pt idx="2">
                  <c:v>Tech &amp; Product</c:v>
                </c:pt>
                <c:pt idx="3">
                  <c:v>Supply Chain &amp; Ops</c:v>
                </c:pt>
                <c:pt idx="4">
                  <c:v>Customer Experience</c:v>
                </c:pt>
              </c:strCache>
            </c:strRef>
          </c:cat>
          <c:val>
            <c:numRef>
              <c:f>Trend_Analysis!$B$23:$B$27</c:f>
              <c:numCache>
                <c:formatCode>General</c:formatCode>
                <c:ptCount val="5"/>
                <c:pt idx="0">
                  <c:v>4.13</c:v>
                </c:pt>
                <c:pt idx="1">
                  <c:v>3.88</c:v>
                </c:pt>
                <c:pt idx="2">
                  <c:v>4.13</c:v>
                </c:pt>
                <c:pt idx="3">
                  <c:v>3.82</c:v>
                </c:pt>
                <c:pt idx="4">
                  <c:v>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0-44ED-AF7C-44494F863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492680"/>
        <c:axId val="2014494728"/>
      </c:barChart>
      <c:catAx>
        <c:axId val="2014492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8"/>
        <c:crosses val="autoZero"/>
        <c:auto val="1"/>
        <c:lblAlgn val="ctr"/>
        <c:lblOffset val="100"/>
        <c:noMultiLvlLbl val="0"/>
      </c:catAx>
      <c:valAx>
        <c:axId val="201449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3</xdr:row>
      <xdr:rowOff>28575</xdr:rowOff>
    </xdr:from>
    <xdr:to>
      <xdr:col>12</xdr:col>
      <xdr:colOff>285750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AB709-9990-581E-DB1E-A012F9AFD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4</xdr:row>
      <xdr:rowOff>28575</xdr:rowOff>
    </xdr:from>
    <xdr:to>
      <xdr:col>12</xdr:col>
      <xdr:colOff>142875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3FD14-8988-BF40-31E5-2ADC5C21A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21</xdr:row>
      <xdr:rowOff>161925</xdr:rowOff>
    </xdr:from>
    <xdr:to>
      <xdr:col>12</xdr:col>
      <xdr:colOff>152400</xdr:colOff>
      <xdr:row>36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E0AC8-1F6A-A5ED-02D0-7651FE66A989}"/>
            </a:ext>
            <a:ext uri="{147F2762-F138-4A5C-976F-8EAC2B608ADB}">
              <a16:predDERef xmlns:a16="http://schemas.microsoft.com/office/drawing/2014/main" pred="{14F3FD14-8988-BF40-31E5-2ADC5C21A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C8B00-3704-4A12-9B16-FAF4283A7265}" name="Table2" displayName="Table2" ref="A1:N16" totalsRowShown="0" headerRowDxfId="5">
  <autoFilter ref="A1:N16" xr:uid="{747C8B00-3704-4A12-9B16-FAF4283A7265}"/>
  <tableColumns count="14">
    <tableColumn id="1" xr3:uid="{75705A7A-11BB-4511-BD92-1D110437F4CA}" name="Survey_Cycle"/>
    <tableColumn id="2" xr3:uid="{706C7046-7AD9-460D-9823-B1D74928F6CB}" name="Business_Unit"/>
    <tableColumn id="3" xr3:uid="{B8A8D913-BC1B-493E-9BE1-F43B5AE2D40D}" name="Headcount"/>
    <tableColumn id="4" xr3:uid="{2A7A7A80-9F20-4C8E-8C03-E57145744C51}" name="Respondents"/>
    <tableColumn id="5" xr3:uid="{1BCA0D21-1774-4B6A-BA8A-92C2FE3A0241}" name="Participation_Rate" dataDxfId="4"/>
    <tableColumn id="6" xr3:uid="{59357F32-DB17-45EE-A7DB-BC0B305B91BB}" name="Leadership_Score"/>
    <tableColumn id="7" xr3:uid="{A5032003-AEF3-4B9F-B818-24CA7444D037}" name="CareerGrowth_Score"/>
    <tableColumn id="8" xr3:uid="{F14FD05A-D412-4902-9875-5779A85FBDC7}" name="Recognition_Score"/>
    <tableColumn id="9" xr3:uid="{7328194E-76A0-4AC0-B6B7-1B5E538411D3}" name="WorkLife_Score"/>
    <tableColumn id="10" xr3:uid="{9D87F153-FC2F-4861-B13F-D027B62CD04C}" name="Collaboration_Score"/>
    <tableColumn id="11" xr3:uid="{E100089F-F5A4-489E-BABD-1357E0B9A99B}" name="Culture_Score"/>
    <tableColumn id="12" xr3:uid="{C41CE208-4121-467E-BFFD-8C96BA29D529}" name="Manager_Score"/>
    <tableColumn id="13" xr3:uid="{B4DB3DE6-B5C2-4C11-BF31-98D2D1E4D4AA}" name="Innovation_Score"/>
    <tableColumn id="14" xr3:uid="{7481790F-5243-4835-AEB5-507936D69E94}" name="Overall_Score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8812D-35AF-4FCE-95D7-9E2DE0D6C877}" name="Table3" displayName="Table3" ref="A1:D6" totalsRowShown="0" headerRowDxfId="3">
  <autoFilter ref="A1:D6" xr:uid="{1A68812D-35AF-4FCE-95D7-9E2DE0D6C877}"/>
  <tableColumns count="4">
    <tableColumn id="1" xr3:uid="{139F1F17-E63B-47E0-B90A-7291853818C1}" name="Business_Unit"/>
    <tableColumn id="2" xr3:uid="{8BB22598-6790-4FAB-BEB6-936FC22A3F1D}" name="Avg_Overall_Score">
      <calculatedColumnFormula>AVERAGEIF(Survey_Data!$B:$B, A2, Survey_Data!$N:$N)</calculatedColumnFormula>
    </tableColumn>
    <tableColumn id="3" xr3:uid="{D534AA4B-1C51-43CC-81DA-69046972822E}" name="Avg_Participation_Rate">
      <calculatedColumnFormula>AVERAGEIF(Survey_Data!$B:$B, A2, Survey_Data!$E:$E)</calculatedColumnFormula>
    </tableColumn>
    <tableColumn id="4" xr3:uid="{CBFCAF80-F743-4B07-A765-0864B8C8B05C}" name="Trend_Q1_to_Q3">
      <calculatedColumnFormula>AVERAGEIFS(Survey_Data!$N:$N, Survey_Data!$B:$B, A2, Survey_Data!$A:$A, "Q3 2024")
 -
 AVERAGEIFS(Survey_Data!$N:$N, Survey_Data!$B:$B, A2, Survey_Data!$A:$A, "Q1 2024")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2325F-3F32-4C80-BE31-73D6EEEDD5E5}" name="Table1" displayName="Table1" ref="A1:B9" totalsRowShown="0" headerRowDxfId="2">
  <autoFilter ref="A1:B9" xr:uid="{0972325F-3F32-4C80-BE31-73D6EEEDD5E5}"/>
  <tableColumns count="2">
    <tableColumn id="1" xr3:uid="{627762A2-EC7F-4151-AC12-DD2DDC57B27D}" name="Dimension"/>
    <tableColumn id="2" xr3:uid="{FD83ED2E-E98E-42E3-8111-62C980D49445}" name="Avg_Score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B80D8F-38A6-403E-A5B6-1A3A738D79EC}" name="Table4" displayName="Table4" ref="A1:D6" totalsRowShown="0" headerRowDxfId="1">
  <autoFilter ref="A1:D6" xr:uid="{D6B80D8F-38A6-403E-A5B6-1A3A738D79EC}"/>
  <tableColumns count="4">
    <tableColumn id="1" xr3:uid="{2DB99999-D05F-42CB-BCD0-9926F6E50C33}" name="Business_Unit"/>
    <tableColumn id="2" xr3:uid="{2CBE5154-AD5F-4F5F-97E7-C68540C256E4}" name="Q1_2024">
      <calculatedColumnFormula>AVERAGEIFS(Survey_Data!$N:$N, Survey_Data!$B:$B, A2, Survey_Data!$A:$A, "Q1 2024")</calculatedColumnFormula>
    </tableColumn>
    <tableColumn id="3" xr3:uid="{44988352-8E1F-4D96-891D-ADBAA41B69AA}" name="Q2_2024">
      <calculatedColumnFormula>AVERAGEIFS(Survey_Data!$N:$N, Survey_Data!$B:$B, A2, Survey_Data!$A:$A, "Q2 2024")</calculatedColumnFormula>
    </tableColumn>
    <tableColumn id="4" xr3:uid="{E40026AC-B177-4090-93E3-B4FF0D637222}" name="Q3_2024">
      <calculatedColumnFormula>AVERAGEIFS(Survey_Data!$N:$N, Survey_Data!$B:$B, A2, Survey_Data!$A:$A, "Q3 2024")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E33608-C2E4-47FA-9B3B-D1EFAC9F6956}" name="Table5" displayName="Table5" ref="A22:B27" totalsRowShown="0" headerRowDxfId="0">
  <autoFilter ref="A22:B27" xr:uid="{0DE33608-C2E4-47FA-9B3B-D1EFAC9F6956}"/>
  <tableColumns count="2">
    <tableColumn id="1" xr3:uid="{FC41F31C-84B8-4D76-873A-0274D747845E}" name="Business_Unit"/>
    <tableColumn id="2" xr3:uid="{33C2830C-08E2-41F7-946F-0A1246CA529B}" name="Q3_Overall_Score">
      <calculatedColumnFormula>AVERAGEIFS(Survey_Data!$N:$N, Survey_Data!$B:$B, A2, Survey_Data!$A:$A, "Q3 2024")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/>
  </sheetViews>
  <sheetFormatPr defaultRowHeight="15"/>
  <cols>
    <col min="1" max="1" width="14.85546875" bestFit="1" customWidth="1"/>
    <col min="2" max="2" width="19.140625" bestFit="1" customWidth="1"/>
    <col min="3" max="3" width="12.85546875" bestFit="1" customWidth="1"/>
    <col min="4" max="4" width="14.7109375" bestFit="1" customWidth="1"/>
    <col min="5" max="5" width="19.7109375" bestFit="1" customWidth="1"/>
    <col min="6" max="6" width="18.85546875" bestFit="1" customWidth="1"/>
    <col min="7" max="7" width="21.7109375" bestFit="1" customWidth="1"/>
    <col min="8" max="8" width="19.7109375" bestFit="1" customWidth="1"/>
    <col min="9" max="9" width="17.140625" bestFit="1" customWidth="1"/>
    <col min="10" max="10" width="21.140625" bestFit="1" customWidth="1"/>
    <col min="11" max="11" width="15.7109375" bestFit="1" customWidth="1"/>
    <col min="12" max="12" width="17.140625" bestFit="1" customWidth="1"/>
    <col min="13" max="13" width="18.7109375" bestFit="1" customWidth="1"/>
    <col min="14" max="14" width="15.5703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150</v>
      </c>
      <c r="D2">
        <v>128</v>
      </c>
      <c r="E2" s="3">
        <v>0.85</v>
      </c>
      <c r="F2">
        <v>4</v>
      </c>
      <c r="G2">
        <v>3.6</v>
      </c>
      <c r="H2">
        <v>3.8</v>
      </c>
      <c r="I2">
        <v>4.2</v>
      </c>
      <c r="J2">
        <v>4.0999999999999996</v>
      </c>
      <c r="K2">
        <v>4</v>
      </c>
      <c r="L2">
        <v>3.9</v>
      </c>
      <c r="M2">
        <v>3.8</v>
      </c>
      <c r="N2">
        <v>3.96</v>
      </c>
    </row>
    <row r="3" spans="1:14">
      <c r="A3" t="s">
        <v>14</v>
      </c>
      <c r="B3" t="s">
        <v>16</v>
      </c>
      <c r="C3">
        <v>90</v>
      </c>
      <c r="D3">
        <v>74</v>
      </c>
      <c r="E3" s="3">
        <v>0.82</v>
      </c>
      <c r="F3">
        <v>3.8</v>
      </c>
      <c r="G3">
        <v>3.5</v>
      </c>
      <c r="H3">
        <v>3.6</v>
      </c>
      <c r="I3">
        <v>4</v>
      </c>
      <c r="J3">
        <v>3.9</v>
      </c>
      <c r="K3">
        <v>3.8</v>
      </c>
      <c r="L3">
        <v>3.7</v>
      </c>
      <c r="M3">
        <v>3.6</v>
      </c>
      <c r="N3">
        <v>3.74</v>
      </c>
    </row>
    <row r="4" spans="1:14">
      <c r="A4" t="s">
        <v>14</v>
      </c>
      <c r="B4" t="s">
        <v>17</v>
      </c>
      <c r="C4">
        <v>180</v>
      </c>
      <c r="D4">
        <v>160</v>
      </c>
      <c r="E4" s="3">
        <v>0.89</v>
      </c>
      <c r="F4">
        <v>4.0999999999999996</v>
      </c>
      <c r="G4">
        <v>3.7</v>
      </c>
      <c r="H4">
        <v>3.9</v>
      </c>
      <c r="I4">
        <v>3.8</v>
      </c>
      <c r="J4">
        <v>4.2</v>
      </c>
      <c r="K4">
        <v>4.0999999999999996</v>
      </c>
      <c r="L4">
        <v>4</v>
      </c>
      <c r="M4">
        <v>4.0999999999999996</v>
      </c>
      <c r="N4">
        <v>3.98</v>
      </c>
    </row>
    <row r="5" spans="1:14">
      <c r="A5" t="s">
        <v>14</v>
      </c>
      <c r="B5" t="s">
        <v>18</v>
      </c>
      <c r="C5">
        <v>220</v>
      </c>
      <c r="D5">
        <v>182</v>
      </c>
      <c r="E5" s="3">
        <v>0.83</v>
      </c>
      <c r="F5">
        <v>3.7</v>
      </c>
      <c r="G5">
        <v>3.4</v>
      </c>
      <c r="H5">
        <v>3.5</v>
      </c>
      <c r="I5">
        <v>3.9</v>
      </c>
      <c r="J5">
        <v>3.8</v>
      </c>
      <c r="K5">
        <v>3.6</v>
      </c>
      <c r="L5">
        <v>3.5</v>
      </c>
      <c r="M5">
        <v>3.7</v>
      </c>
      <c r="N5">
        <v>3.64</v>
      </c>
    </row>
    <row r="6" spans="1:14">
      <c r="A6" t="s">
        <v>14</v>
      </c>
      <c r="B6" t="s">
        <v>19</v>
      </c>
      <c r="C6">
        <v>120</v>
      </c>
      <c r="D6">
        <v>100</v>
      </c>
      <c r="E6" s="3">
        <v>0.83</v>
      </c>
      <c r="F6">
        <v>3.9</v>
      </c>
      <c r="G6">
        <v>3.5</v>
      </c>
      <c r="H6">
        <v>3.6</v>
      </c>
      <c r="I6">
        <v>3.7</v>
      </c>
      <c r="J6">
        <v>3.8</v>
      </c>
      <c r="K6">
        <v>3.7</v>
      </c>
      <c r="L6">
        <v>3.6</v>
      </c>
      <c r="M6">
        <v>3.5</v>
      </c>
      <c r="N6">
        <v>3.69</v>
      </c>
    </row>
    <row r="7" spans="1:14">
      <c r="A7" t="s">
        <v>20</v>
      </c>
      <c r="B7" t="s">
        <v>15</v>
      </c>
      <c r="C7">
        <v>148</v>
      </c>
      <c r="D7">
        <v>130</v>
      </c>
      <c r="E7" s="3">
        <v>0.88</v>
      </c>
      <c r="F7">
        <v>4.0999999999999996</v>
      </c>
      <c r="G7">
        <v>3.7</v>
      </c>
      <c r="H7">
        <v>3.9</v>
      </c>
      <c r="I7">
        <v>4.3</v>
      </c>
      <c r="J7">
        <v>4.2</v>
      </c>
      <c r="K7">
        <v>4.0999999999999996</v>
      </c>
      <c r="L7">
        <v>4</v>
      </c>
      <c r="M7">
        <v>3.9</v>
      </c>
      <c r="N7">
        <v>4.0199999999999996</v>
      </c>
    </row>
    <row r="8" spans="1:14">
      <c r="A8" t="s">
        <v>20</v>
      </c>
      <c r="B8" t="s">
        <v>16</v>
      </c>
      <c r="C8">
        <v>92</v>
      </c>
      <c r="D8">
        <v>80</v>
      </c>
      <c r="E8" s="3">
        <v>0.87</v>
      </c>
      <c r="F8">
        <v>3.9</v>
      </c>
      <c r="G8">
        <v>3.5</v>
      </c>
      <c r="H8">
        <v>3.8</v>
      </c>
      <c r="I8">
        <v>4.0999999999999996</v>
      </c>
      <c r="J8">
        <v>4</v>
      </c>
      <c r="K8">
        <v>3.9</v>
      </c>
      <c r="L8">
        <v>3.8</v>
      </c>
      <c r="M8">
        <v>3.7</v>
      </c>
      <c r="N8">
        <v>3.83</v>
      </c>
    </row>
    <row r="9" spans="1:14">
      <c r="A9" t="s">
        <v>20</v>
      </c>
      <c r="B9" t="s">
        <v>17</v>
      </c>
      <c r="C9">
        <v>185</v>
      </c>
      <c r="D9">
        <v>170</v>
      </c>
      <c r="E9" s="3">
        <v>0.92</v>
      </c>
      <c r="F9">
        <v>4.2</v>
      </c>
      <c r="G9">
        <v>3.8</v>
      </c>
      <c r="H9">
        <v>4</v>
      </c>
      <c r="I9">
        <v>3.9</v>
      </c>
      <c r="J9">
        <v>4.3</v>
      </c>
      <c r="K9">
        <v>4.2</v>
      </c>
      <c r="L9">
        <v>4.0999999999999996</v>
      </c>
      <c r="M9">
        <v>4.2</v>
      </c>
      <c r="N9">
        <v>4.04</v>
      </c>
    </row>
    <row r="10" spans="1:14">
      <c r="A10" t="s">
        <v>20</v>
      </c>
      <c r="B10" t="s">
        <v>18</v>
      </c>
      <c r="C10">
        <v>218</v>
      </c>
      <c r="D10">
        <v>180</v>
      </c>
      <c r="E10" s="3">
        <v>0.82</v>
      </c>
      <c r="F10">
        <v>3.8</v>
      </c>
      <c r="G10">
        <v>3.4</v>
      </c>
      <c r="H10">
        <v>3.6</v>
      </c>
      <c r="I10">
        <v>4</v>
      </c>
      <c r="J10">
        <v>3.9</v>
      </c>
      <c r="K10">
        <v>3.7</v>
      </c>
      <c r="L10">
        <v>3.6</v>
      </c>
      <c r="M10">
        <v>3.8</v>
      </c>
      <c r="N10">
        <v>3.71</v>
      </c>
    </row>
    <row r="11" spans="1:14">
      <c r="A11" t="s">
        <v>20</v>
      </c>
      <c r="B11" t="s">
        <v>19</v>
      </c>
      <c r="C11">
        <v>118</v>
      </c>
      <c r="D11">
        <v>102</v>
      </c>
      <c r="E11" s="3">
        <v>0.86</v>
      </c>
      <c r="F11">
        <v>3.9</v>
      </c>
      <c r="G11">
        <v>3.6</v>
      </c>
      <c r="H11">
        <v>3.7</v>
      </c>
      <c r="I11">
        <v>3.8</v>
      </c>
      <c r="J11">
        <v>3.9</v>
      </c>
      <c r="K11">
        <v>3.8</v>
      </c>
      <c r="L11">
        <v>3.7</v>
      </c>
      <c r="M11">
        <v>3.6</v>
      </c>
      <c r="N11">
        <v>3.75</v>
      </c>
    </row>
    <row r="12" spans="1:14">
      <c r="A12" t="s">
        <v>21</v>
      </c>
      <c r="B12" t="s">
        <v>15</v>
      </c>
      <c r="C12">
        <v>150</v>
      </c>
      <c r="D12">
        <v>138</v>
      </c>
      <c r="E12" s="3">
        <v>0.92</v>
      </c>
      <c r="F12">
        <v>4.2</v>
      </c>
      <c r="G12">
        <v>3.8</v>
      </c>
      <c r="H12">
        <v>4</v>
      </c>
      <c r="I12">
        <v>4.4000000000000004</v>
      </c>
      <c r="J12">
        <v>4.3</v>
      </c>
      <c r="K12">
        <v>4.2</v>
      </c>
      <c r="L12">
        <v>4.0999999999999996</v>
      </c>
      <c r="M12">
        <v>4</v>
      </c>
      <c r="N12">
        <v>4.13</v>
      </c>
    </row>
    <row r="13" spans="1:14">
      <c r="A13" t="s">
        <v>21</v>
      </c>
      <c r="B13" t="s">
        <v>16</v>
      </c>
      <c r="C13">
        <v>90</v>
      </c>
      <c r="D13">
        <v>78</v>
      </c>
      <c r="E13" s="3">
        <v>0.86</v>
      </c>
      <c r="F13">
        <v>4</v>
      </c>
      <c r="G13">
        <v>3.6</v>
      </c>
      <c r="H13">
        <v>3.8</v>
      </c>
      <c r="I13">
        <v>4.2</v>
      </c>
      <c r="J13">
        <v>4.0999999999999996</v>
      </c>
      <c r="K13">
        <v>4</v>
      </c>
      <c r="L13">
        <v>3.9</v>
      </c>
      <c r="M13">
        <v>3.8</v>
      </c>
      <c r="N13">
        <v>3.88</v>
      </c>
    </row>
    <row r="14" spans="1:14">
      <c r="A14" t="s">
        <v>21</v>
      </c>
      <c r="B14" t="s">
        <v>17</v>
      </c>
      <c r="C14">
        <v>190</v>
      </c>
      <c r="D14">
        <v>175</v>
      </c>
      <c r="E14" s="3">
        <v>0.92</v>
      </c>
      <c r="F14">
        <v>4.3</v>
      </c>
      <c r="G14">
        <v>3.9</v>
      </c>
      <c r="H14">
        <v>4.0999999999999996</v>
      </c>
      <c r="I14">
        <v>4</v>
      </c>
      <c r="J14">
        <v>4.4000000000000004</v>
      </c>
      <c r="K14">
        <v>4.3</v>
      </c>
      <c r="L14">
        <v>4.2</v>
      </c>
      <c r="M14">
        <v>4.3</v>
      </c>
      <c r="N14">
        <v>4.13</v>
      </c>
    </row>
    <row r="15" spans="1:14">
      <c r="A15" t="s">
        <v>21</v>
      </c>
      <c r="B15" t="s">
        <v>18</v>
      </c>
      <c r="C15">
        <v>220</v>
      </c>
      <c r="D15">
        <v>190</v>
      </c>
      <c r="E15" s="3">
        <v>0.86</v>
      </c>
      <c r="F15">
        <v>3.9</v>
      </c>
      <c r="G15">
        <v>3.5</v>
      </c>
      <c r="H15">
        <v>3.7</v>
      </c>
      <c r="I15">
        <v>4.0999999999999996</v>
      </c>
      <c r="J15">
        <v>4</v>
      </c>
      <c r="K15">
        <v>3.8</v>
      </c>
      <c r="L15">
        <v>3.7</v>
      </c>
      <c r="M15">
        <v>3.9</v>
      </c>
      <c r="N15">
        <v>3.82</v>
      </c>
    </row>
    <row r="16" spans="1:14">
      <c r="A16" t="s">
        <v>21</v>
      </c>
      <c r="B16" t="s">
        <v>19</v>
      </c>
      <c r="C16">
        <v>120</v>
      </c>
      <c r="D16">
        <v>108</v>
      </c>
      <c r="E16" s="3">
        <v>0.9</v>
      </c>
      <c r="F16">
        <v>4</v>
      </c>
      <c r="G16">
        <v>3.7</v>
      </c>
      <c r="H16">
        <v>3.8</v>
      </c>
      <c r="I16">
        <v>3.9</v>
      </c>
      <c r="J16">
        <v>4</v>
      </c>
      <c r="K16">
        <v>3.9</v>
      </c>
      <c r="L16">
        <v>3.8</v>
      </c>
      <c r="M16">
        <v>3.7</v>
      </c>
      <c r="N16">
        <v>3.86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A649-5701-4964-9810-B5C5C65FA220}">
  <dimension ref="A1:D6"/>
  <sheetViews>
    <sheetView workbookViewId="0"/>
  </sheetViews>
  <sheetFormatPr defaultRowHeight="15"/>
  <cols>
    <col min="1" max="1" width="19.140625" bestFit="1" customWidth="1"/>
    <col min="2" max="2" width="19.5703125" bestFit="1" customWidth="1"/>
    <col min="3" max="3" width="23.5703125" bestFit="1" customWidth="1"/>
    <col min="4" max="4" width="17.5703125" bestFit="1" customWidth="1"/>
  </cols>
  <sheetData>
    <row r="1" spans="1:4" s="2" customFormat="1">
      <c r="A1" s="2" t="s">
        <v>1</v>
      </c>
      <c r="B1" s="2" t="s">
        <v>22</v>
      </c>
      <c r="C1" s="2" t="s">
        <v>23</v>
      </c>
      <c r="D1" s="2" t="s">
        <v>24</v>
      </c>
    </row>
    <row r="2" spans="1:4">
      <c r="A2" t="s">
        <v>15</v>
      </c>
      <c r="B2">
        <f>AVERAGEIF(Survey_Data!$B:$B, A2, Survey_Data!$N:$N)</f>
        <v>4.0366666666666662</v>
      </c>
      <c r="C2">
        <f>AVERAGEIF(Survey_Data!$B:$B, A2, Survey_Data!$E:$E)</f>
        <v>0.8833333333333333</v>
      </c>
      <c r="D2">
        <f>AVERAGEIFS(Survey_Data!$N:$N, Survey_Data!$B:$B, A2, Survey_Data!$A:$A, "Q3 2024")
 -
 AVERAGEIFS(Survey_Data!$N:$N, Survey_Data!$B:$B, A2, Survey_Data!$A:$A, "Q1 2024")</f>
        <v>0.16999999999999993</v>
      </c>
    </row>
    <row r="3" spans="1:4">
      <c r="A3" t="s">
        <v>16</v>
      </c>
      <c r="B3">
        <f>AVERAGEIF(Survey_Data!$B:$B, A3, Survey_Data!$N:$N)</f>
        <v>3.8166666666666664</v>
      </c>
      <c r="C3">
        <f>AVERAGEIF(Survey_Data!$B:$B, A3, Survey_Data!$E:$E)</f>
        <v>0.85</v>
      </c>
      <c r="D3">
        <f>AVERAGEIFS(Survey_Data!$N:$N, Survey_Data!$B:$B, A3, Survey_Data!$A:$A, "Q3 2024")
 -
 AVERAGEIFS(Survey_Data!$N:$N, Survey_Data!$B:$B, A3, Survey_Data!$A:$A, "Q1 2024")</f>
        <v>0.13999999999999968</v>
      </c>
    </row>
    <row r="4" spans="1:4">
      <c r="A4" t="s">
        <v>17</v>
      </c>
      <c r="B4">
        <f>AVERAGEIF(Survey_Data!$B:$B, A4, Survey_Data!$N:$N)</f>
        <v>4.05</v>
      </c>
      <c r="C4">
        <f>AVERAGEIF(Survey_Data!$B:$B, A4, Survey_Data!$E:$E)</f>
        <v>0.91</v>
      </c>
      <c r="D4">
        <f>AVERAGEIFS(Survey_Data!$N:$N, Survey_Data!$B:$B, A4, Survey_Data!$A:$A, "Q3 2024")
 -
 AVERAGEIFS(Survey_Data!$N:$N, Survey_Data!$B:$B, A4, Survey_Data!$A:$A, "Q1 2024")</f>
        <v>0.14999999999999991</v>
      </c>
    </row>
    <row r="5" spans="1:4">
      <c r="A5" t="s">
        <v>18</v>
      </c>
      <c r="B5">
        <f>AVERAGEIF(Survey_Data!$B:$B, A5, Survey_Data!$N:$N)</f>
        <v>3.7233333333333332</v>
      </c>
      <c r="C5">
        <f>AVERAGEIF(Survey_Data!$B:$B, A5, Survey_Data!$E:$E)</f>
        <v>0.83666666666666656</v>
      </c>
      <c r="D5">
        <f>AVERAGEIFS(Survey_Data!$N:$N, Survey_Data!$B:$B, A5, Survey_Data!$A:$A, "Q3 2024")
 -
 AVERAGEIFS(Survey_Data!$N:$N, Survey_Data!$B:$B, A5, Survey_Data!$A:$A, "Q1 2024")</f>
        <v>0.17999999999999972</v>
      </c>
    </row>
    <row r="6" spans="1:4">
      <c r="A6" t="s">
        <v>19</v>
      </c>
      <c r="B6">
        <f>AVERAGEIF(Survey_Data!$B:$B, A6, Survey_Data!$N:$N)</f>
        <v>3.7666666666666662</v>
      </c>
      <c r="C6">
        <f>AVERAGEIF(Survey_Data!$B:$B, A6, Survey_Data!$E:$E)</f>
        <v>0.86333333333333329</v>
      </c>
      <c r="D6">
        <f>AVERAGEIFS(Survey_Data!$N:$N, Survey_Data!$B:$B, A6, Survey_Data!$A:$A, "Q3 2024")
 -
 AVERAGEIFS(Survey_Data!$N:$N, Survey_Data!$B:$B, A6, Survey_Data!$A:$A, "Q1 2024")</f>
        <v>0.16999999999999993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52F5-7798-48D5-8DBA-940658283250}">
  <dimension ref="A1:B9"/>
  <sheetViews>
    <sheetView tabSelected="1" topLeftCell="A11" workbookViewId="0">
      <selection activeCell="L20" sqref="L20"/>
    </sheetView>
  </sheetViews>
  <sheetFormatPr defaultRowHeight="15"/>
  <cols>
    <col min="1" max="1" width="16.42578125" bestFit="1" customWidth="1"/>
    <col min="2" max="2" width="12.28515625" bestFit="1" customWidth="1"/>
  </cols>
  <sheetData>
    <row r="1" spans="1:2" s="2" customFormat="1">
      <c r="A1" s="2" t="s">
        <v>25</v>
      </c>
      <c r="B1" s="2" t="s">
        <v>26</v>
      </c>
    </row>
    <row r="2" spans="1:2">
      <c r="A2" t="s">
        <v>27</v>
      </c>
      <c r="B2">
        <f>AVERAGE(Survey_Data!F:F)</f>
        <v>3.9866666666666659</v>
      </c>
    </row>
    <row r="3" spans="1:2">
      <c r="A3" t="s">
        <v>28</v>
      </c>
      <c r="B3">
        <f>AVERAGE(Survey_Data!G:G)</f>
        <v>3.6133333333333337</v>
      </c>
    </row>
    <row r="4" spans="1:2">
      <c r="A4" t="s">
        <v>29</v>
      </c>
      <c r="B4">
        <f>AVERAGE(Survey_Data!H:H)</f>
        <v>3.7866666666666671</v>
      </c>
    </row>
    <row r="5" spans="1:2">
      <c r="A5" t="s">
        <v>30</v>
      </c>
      <c r="B5">
        <f>AVERAGE(Survey_Data!I:I)</f>
        <v>4.0199999999999996</v>
      </c>
    </row>
    <row r="6" spans="1:2">
      <c r="A6" t="s">
        <v>31</v>
      </c>
      <c r="B6">
        <f>AVERAGE(Survey_Data!J:J)</f>
        <v>4.0599999999999996</v>
      </c>
    </row>
    <row r="7" spans="1:2">
      <c r="A7" t="s">
        <v>32</v>
      </c>
      <c r="B7">
        <f>AVERAGE(Survey_Data!K:K)</f>
        <v>3.9399999999999991</v>
      </c>
    </row>
    <row r="8" spans="1:2">
      <c r="A8" t="s">
        <v>33</v>
      </c>
      <c r="B8">
        <f>AVERAGE(Survey_Data!L:L)</f>
        <v>3.8400000000000007</v>
      </c>
    </row>
    <row r="9" spans="1:2">
      <c r="A9" t="s">
        <v>34</v>
      </c>
      <c r="B9">
        <f>AVERAGE(Survey_Data!M:M)</f>
        <v>3.8399999999999994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BC00-53A4-411D-89FD-D098743C648A}">
  <dimension ref="A1:D27"/>
  <sheetViews>
    <sheetView workbookViewId="0">
      <selection activeCell="J3" sqref="J3"/>
    </sheetView>
  </sheetViews>
  <sheetFormatPr defaultRowHeight="15"/>
  <cols>
    <col min="1" max="1" width="19.140625" bestFit="1" customWidth="1"/>
    <col min="2" max="2" width="18.85546875" bestFit="1" customWidth="1"/>
    <col min="3" max="4" width="10.85546875" bestFit="1" customWidth="1"/>
  </cols>
  <sheetData>
    <row r="1" spans="1:4" s="2" customFormat="1">
      <c r="A1" s="2" t="s">
        <v>1</v>
      </c>
      <c r="B1" s="2" t="s">
        <v>35</v>
      </c>
      <c r="C1" s="2" t="s">
        <v>36</v>
      </c>
      <c r="D1" s="2" t="s">
        <v>37</v>
      </c>
    </row>
    <row r="2" spans="1:4">
      <c r="A2" t="s">
        <v>15</v>
      </c>
      <c r="B2">
        <f>AVERAGEIFS(Survey_Data!$N:$N, Survey_Data!$B:$B, A2, Survey_Data!$A:$A, "Q1 2024")</f>
        <v>3.96</v>
      </c>
      <c r="C2">
        <f>AVERAGEIFS(Survey_Data!$N:$N, Survey_Data!$B:$B, A2, Survey_Data!$A:$A, "Q2 2024")</f>
        <v>4.0199999999999996</v>
      </c>
      <c r="D2">
        <f>AVERAGEIFS(Survey_Data!$N:$N, Survey_Data!$B:$B, A2, Survey_Data!$A:$A, "Q3 2024")</f>
        <v>4.13</v>
      </c>
    </row>
    <row r="3" spans="1:4">
      <c r="A3" t="s">
        <v>16</v>
      </c>
      <c r="B3">
        <f>AVERAGEIFS(Survey_Data!$N:$N, Survey_Data!$B:$B, A3, Survey_Data!$A:$A, "Q1 2024")</f>
        <v>3.74</v>
      </c>
      <c r="C3">
        <f>AVERAGEIFS(Survey_Data!$N:$N, Survey_Data!$B:$B, A3, Survey_Data!$A:$A, "Q2 2024")</f>
        <v>3.83</v>
      </c>
      <c r="D3">
        <f>AVERAGEIFS(Survey_Data!$N:$N, Survey_Data!$B:$B, A3, Survey_Data!$A:$A, "Q3 2024")</f>
        <v>3.88</v>
      </c>
    </row>
    <row r="4" spans="1:4">
      <c r="A4" t="s">
        <v>17</v>
      </c>
      <c r="B4">
        <f>AVERAGEIFS(Survey_Data!$N:$N, Survey_Data!$B:$B, A4, Survey_Data!$A:$A, "Q1 2024")</f>
        <v>3.98</v>
      </c>
      <c r="C4">
        <f>AVERAGEIFS(Survey_Data!$N:$N, Survey_Data!$B:$B, A4, Survey_Data!$A:$A, "Q2 2024")</f>
        <v>4.04</v>
      </c>
      <c r="D4">
        <f>AVERAGEIFS(Survey_Data!$N:$N, Survey_Data!$B:$B, A4, Survey_Data!$A:$A, "Q3 2024")</f>
        <v>4.13</v>
      </c>
    </row>
    <row r="5" spans="1:4">
      <c r="A5" t="s">
        <v>18</v>
      </c>
      <c r="B5">
        <f>AVERAGEIFS(Survey_Data!$N:$N, Survey_Data!$B:$B, A5, Survey_Data!$A:$A, "Q1 2024")</f>
        <v>3.64</v>
      </c>
      <c r="C5">
        <f>AVERAGEIFS(Survey_Data!$N:$N, Survey_Data!$B:$B, A5, Survey_Data!$A:$A, "Q2 2024")</f>
        <v>3.71</v>
      </c>
      <c r="D5">
        <f>AVERAGEIFS(Survey_Data!$N:$N, Survey_Data!$B:$B, A5, Survey_Data!$A:$A, "Q3 2024")</f>
        <v>3.82</v>
      </c>
    </row>
    <row r="6" spans="1:4">
      <c r="A6" t="s">
        <v>19</v>
      </c>
      <c r="B6">
        <f>AVERAGEIFS(Survey_Data!$N:$N, Survey_Data!$B:$B, A6, Survey_Data!$A:$A, "Q1 2024")</f>
        <v>3.69</v>
      </c>
      <c r="C6">
        <f>AVERAGEIFS(Survey_Data!$N:$N, Survey_Data!$B:$B, A6, Survey_Data!$A:$A, "Q2 2024")</f>
        <v>3.75</v>
      </c>
      <c r="D6">
        <f>AVERAGEIFS(Survey_Data!$N:$N, Survey_Data!$B:$B, A6, Survey_Data!$A:$A, "Q3 2024")</f>
        <v>3.86</v>
      </c>
    </row>
    <row r="22" spans="1:2" s="2" customFormat="1">
      <c r="A22" s="2" t="s">
        <v>1</v>
      </c>
      <c r="B22" s="2" t="s">
        <v>38</v>
      </c>
    </row>
    <row r="23" spans="1:2">
      <c r="A23" t="s">
        <v>15</v>
      </c>
      <c r="B23">
        <f>AVERAGEIFS(Survey_Data!$N:$N, Survey_Data!$B:$B, A2, Survey_Data!$A:$A, "Q3 2024")</f>
        <v>4.13</v>
      </c>
    </row>
    <row r="24" spans="1:2">
      <c r="A24" t="s">
        <v>16</v>
      </c>
      <c r="B24">
        <f>AVERAGEIFS(Survey_Data!$N:$N, Survey_Data!$B:$B, A3, Survey_Data!$A:$A, "Q3 2024")</f>
        <v>3.88</v>
      </c>
    </row>
    <row r="25" spans="1:2">
      <c r="A25" t="s">
        <v>17</v>
      </c>
      <c r="B25">
        <f>AVERAGEIFS(Survey_Data!$N:$N, Survey_Data!$B:$B, A4, Survey_Data!$A:$A, "Q3 2024")</f>
        <v>4.13</v>
      </c>
    </row>
    <row r="26" spans="1:2">
      <c r="A26" t="s">
        <v>18</v>
      </c>
      <c r="B26">
        <f>AVERAGEIFS(Survey_Data!$N:$N, Survey_Data!$B:$B, A5, Survey_Data!$A:$A, "Q3 2024")</f>
        <v>3.82</v>
      </c>
    </row>
    <row r="27" spans="1:2">
      <c r="A27" t="s">
        <v>19</v>
      </c>
      <c r="B27">
        <f>AVERAGEIFS(Survey_Data!$N:$N, Survey_Data!$B:$B, A6, Survey_Data!$A:$A, "Q3 2024")</f>
        <v>3.86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2025-12-01T12:11:21Z</dcterms:created>
  <dcterms:modified xsi:type="dcterms:W3CDTF">2025-12-15T18:33:22Z</dcterms:modified>
  <cp:category/>
  <cp:contentStatus/>
</cp:coreProperties>
</file>